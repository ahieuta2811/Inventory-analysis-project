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ms-excel.documenttasks+xml" PartName="/xl/documenttasks/documenttask1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pivotCacheDefinition+xml" PartName="/xl/pivotCache/pivotCacheDefinition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Inventory Analysis for " sheetId="1" r:id="rId5"/>
    <sheet state="visible" name="Pivot Table 1" sheetId="2" r:id="rId6"/>
    <sheet state="visible" name="Pivot Table 2" sheetId="3" r:id="rId7"/>
    <sheet state="visible" name="Bar Chart" sheetId="4" r:id="rId8"/>
  </sheets>
  <definedNames>
    <definedName hidden="1" localSheetId="0" name="_xlnm._FilterDatabase">'Project Inventory Analysis for '!$H$1:$H$1000</definedName>
  </definedNames>
  <calcPr/>
  <pivotCaches>
    <pivotCache cacheId="0" r:id="rId9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tc={bddc23ce-c373-4120-8a7d-7e79659e694f}</author>
    <author>tc={be8ef3e7-63ad-4f74-a070-1cdf1ef1b465}</author>
    <author>tc={f1654a1c-e50c-4a7a-ac09-81f4ce5f2061}</author>
  </authors>
  <commentList>
    <comment authorId="0" xr:uid="{bddc23ce-c373-4120-8a7d-7e79659e694f}" ref="H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30&lt; nguy cơ hết hàng , &gt;90 hàng tồn kho nhiều
</t>
      </text>
    </comment>
    <comment authorId="1" xr:uid="{be8ef3e7-63ad-4f74-a070-1cdf1ef1b465}" ref="I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tiền bị giữ trong kho
</t>
      </text>
    </comment>
    <comment authorId="2" xr:uid="{f1654a1c-e50c-4a7a-ac09-81f4ce5f2061}" ref="G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&gt;1 bán chạy ,0.5&lt; hàng tồn kho nhiều
</t>
      </text>
    </comment>
  </commentList>
</comments>
</file>

<file path=xl/sharedStrings.xml><?xml version="1.0" encoding="utf-8"?>
<sst xmlns="http://schemas.openxmlformats.org/spreadsheetml/2006/main" count="50" uniqueCount="31">
  <si>
    <t>Product_ID</t>
  </si>
  <si>
    <t>Product</t>
  </si>
  <si>
    <t>Category</t>
  </si>
  <si>
    <t>Inventory</t>
  </si>
  <si>
    <t>Monthly_Sales</t>
  </si>
  <si>
    <t>Unit_Cost</t>
  </si>
  <si>
    <t>Inventory_Turnover</t>
  </si>
  <si>
    <t>Days_of_Inventory</t>
  </si>
  <si>
    <t>Inventory_Value</t>
  </si>
  <si>
    <t>P001</t>
  </si>
  <si>
    <t>Laptop</t>
  </si>
  <si>
    <t>Electronics</t>
  </si>
  <si>
    <t>P002</t>
  </si>
  <si>
    <t>Mouse</t>
  </si>
  <si>
    <t>P003</t>
  </si>
  <si>
    <t>Keyboard</t>
  </si>
  <si>
    <t>P004</t>
  </si>
  <si>
    <t>Monitor</t>
  </si>
  <si>
    <t>P005</t>
  </si>
  <si>
    <t>Phone</t>
  </si>
  <si>
    <t>P006</t>
  </si>
  <si>
    <t>Charger</t>
  </si>
  <si>
    <t>Accessories</t>
  </si>
  <si>
    <t>P007</t>
  </si>
  <si>
    <t>USB Cable</t>
  </si>
  <si>
    <t>P008</t>
  </si>
  <si>
    <t>Headphones</t>
  </si>
  <si>
    <t>SUM of Monthly_Sales</t>
  </si>
  <si>
    <t>SUM of Inventory</t>
  </si>
  <si>
    <t>Grand Total</t>
  </si>
  <si>
    <t>SUM of Inventory_Value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</si>
</sst>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Sales by Product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'Project Inventory Analysis for '!$D$1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'Project Inventory Analysis for '!$B$2:$B$9</c:f>
            </c:strRef>
          </c:cat>
          <c:val>
            <c:numRef>
              <c:f>'Project Inventory Analysis for '!$D$2:$D$9</c:f>
              <c:numCache/>
            </c:numRef>
          </c:val>
        </c:ser>
        <c:axId val="936518363"/>
        <c:axId val="1886240087"/>
      </c:barChart>
      <c:catAx>
        <c:axId val="93651836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6240087"/>
      </c:catAx>
      <c:valAx>
        <c:axId val="188624008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6518363"/>
        <c:crosses val="max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Inventory Level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'Project Inventory Analysis for '!$I$1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'Project Inventory Analysis for '!$B$2:$B$9</c:f>
            </c:strRef>
          </c:cat>
          <c:val>
            <c:numRef>
              <c:f>'Project Inventory Analysis for '!$I$2:$I$9</c:f>
              <c:numCache/>
            </c:numRef>
          </c:val>
        </c:ser>
        <c:axId val="90078246"/>
        <c:axId val="683360995"/>
      </c:barChart>
      <c:catAx>
        <c:axId val="9007824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3360995"/>
      </c:catAx>
      <c:valAx>
        <c:axId val="68336099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078246"/>
        <c:crosses val="max"/>
      </c:valAx>
    </c:plotArea>
    <c:plotVisOnly val="1"/>
  </c:chart>
</c:chartSpace>
</file>

<file path=xl/documenttasks/documenttask1.xml><?xml version="1.0" encoding="utf-8"?>
<Tasks xmlns="http://schemas.microsoft.com/office/tasks/2019/documenttasks"/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38100</xdr:colOff>
      <xdr:row>0</xdr:row>
      <xdr:rowOff>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Hieu Ta" id="{cca1b587-a255-400a-b2f1-61cecfa53a6e}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9" sheet="Project Inventory Analysis for "/>
  </cacheSource>
  <cacheFields>
    <cacheField name="Product_ID" numFmtId="0">
      <sharedItems>
        <s v="P001"/>
        <s v="P002"/>
        <s v="P003"/>
        <s v="P004"/>
        <s v="P005"/>
        <s v="P006"/>
        <s v="P007"/>
        <s v="P008"/>
      </sharedItems>
    </cacheField>
    <cacheField name="Product" numFmtId="0">
      <sharedItems>
        <s v="Laptop"/>
        <s v="Mouse"/>
        <s v="Keyboard"/>
        <s v="Monitor"/>
        <s v="Phone"/>
        <s v="Charger"/>
        <s v="USB Cable"/>
        <s v="Headphones"/>
      </sharedItems>
    </cacheField>
    <cacheField name="Category" numFmtId="0">
      <sharedItems>
        <s v="Electronics"/>
        <s v="Accessories"/>
      </sharedItems>
    </cacheField>
    <cacheField name="Inventory" numFmtId="0">
      <sharedItems containsSemiMixedTypes="0" containsString="0" containsNumber="1" containsInteger="1">
        <n v="50.0"/>
        <n v="200.0"/>
        <n v="150.0"/>
        <n v="40.0"/>
        <n v="30.0"/>
        <n v="300.0"/>
        <n v="500.0"/>
        <n v="60.0"/>
      </sharedItems>
    </cacheField>
    <cacheField name="Monthly_Sales" numFmtId="0">
      <sharedItems containsSemiMixedTypes="0" containsString="0" containsNumber="1" containsInteger="1">
        <n v="40.0"/>
        <n v="30.0"/>
        <n v="25.0"/>
        <n v="35.0"/>
        <n v="45.0"/>
        <n v="50.0"/>
        <n v="80.0"/>
        <n v="55.0"/>
      </sharedItems>
    </cacheField>
    <cacheField name="Unit_Cost" numFmtId="0">
      <sharedItems containsSemiMixedTypes="0" containsString="0" containsNumber="1" containsInteger="1">
        <n v="700.0"/>
        <n v="10.0"/>
        <n v="20.0"/>
        <n v="200.0"/>
        <n v="600.0"/>
        <n v="15.0"/>
        <n v="5.0"/>
        <n v="80.0"/>
      </sharedItems>
    </cacheField>
    <cacheField name="Inventory_Turnover" numFmtId="0">
      <sharedItems containsSemiMixedTypes="0" containsString="0" containsNumber="1">
        <n v="0.8"/>
        <n v="0.15"/>
        <n v="0.16666666666666666"/>
        <n v="0.875"/>
        <n v="1.5"/>
        <n v="0.16"/>
        <n v="0.9166666666666666"/>
      </sharedItems>
    </cacheField>
    <cacheField name="Days_of_Inventory" numFmtId="0">
      <sharedItems containsSemiMixedTypes="0" containsString="0" containsNumber="1">
        <n v="37.5"/>
        <n v="200.0"/>
        <n v="180.0"/>
        <n v="34.285714285714285"/>
        <n v="20.0"/>
        <n v="187.5"/>
        <n v="32.72727272727273"/>
      </sharedItems>
    </cacheField>
    <cacheField name="Inventory_Value" numFmtId="0">
      <sharedItems containsSemiMixedTypes="0" containsString="0" containsNumber="1" containsInteger="1">
        <n v="35000.0"/>
        <n v="2000.0"/>
        <n v="3000.0"/>
        <n v="8000.0"/>
        <n v="18000.0"/>
        <n v="4500.0"/>
        <n v="2500.0"/>
        <n v="480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C4" firstHeaderRow="0" firstDataRow="2" firstDataCol="0"/>
  <pivotFields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ategory" axis="axisRow" compact="0" outline="0" multipleItemSelectionAllowed="1" showAll="0" sortType="ascending">
      <items>
        <item x="0"/>
        <item x="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Inventor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onthly_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Unit_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Inventory_Turnove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ys_of_Inventor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Inventory_Valu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</pivotFields>
  <rowFields>
    <field x="2"/>
  </rowFields>
  <colFields>
    <field x="-2"/>
  </colFields>
  <dataFields>
    <dataField name="SUM of Monthly_Sales" fld="4" baseField="0"/>
    <dataField name="SUM of Inventory" fld="3" baseField="0"/>
  </dataFields>
</pivotTableDefinition>
</file>

<file path=xl/pivotTables/pivotTable2.xml><?xml version="1.0" encoding="utf-8"?>
<pivotTableDefinition xmlns="http://schemas.openxmlformats.org/spreadsheetml/2006/main" name="Pivot Table 2" cacheId="0" dataCaption="" compact="0" compactData="0">
  <location ref="A1:B10" firstHeaderRow="0" firstDataRow="1" firstDataCol="0"/>
  <pivotFields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roduct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ategory" compact="0" outline="0" multipleItemSelectionAllowed="1" showAll="0">
      <items>
        <item x="0"/>
        <item x="1"/>
        <item t="default"/>
      </items>
    </pivotField>
    <pivotField name="Inventor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onthly_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Unit_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Inventory_Turnove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ys_of_Inventor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Inventory_Val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</pivotFields>
  <rowFields>
    <field x="1"/>
  </rowFields>
  <dataFields>
    <dataField name="SUM of Inventory_Value" fld="8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2" dT="2026-03-14T14:31:44.00" personId="{cca1b587-a255-400a-b2f1-61cecfa53a6e}" id="{f1654a1c-e50c-4a7a-ac09-81f4ce5f2061}" done="0">
    <x18tc:text xml:space="preserve">&gt;1 bán chạy ,0.5&lt; hàng tồn kho nhiều</x18tc:text>
  </x18tc:threadedComment>
  <x18tc:threadedComment ref="H2" dT="2026-03-14T14:30:51.00" personId="{cca1b587-a255-400a-b2f1-61cecfa53a6e}" id="{bddc23ce-c373-4120-8a7d-7e79659e694f}" done="0">
    <x18tc:text xml:space="preserve">30&lt; nguy cơ hết hàng , &gt;90 hàng tồn kho nhiều</x18tc:text>
  </x18tc:threadedComment>
  <x18tc:threadedComment ref="I2" dT="2026-03-14T14:33:40.00" personId="{cca1b587-a255-400a-b2f1-61cecfa53a6e}" id="{be8ef3e7-63ad-4f74-a070-1cdf1ef1b465}" done="0">
    <x18tc:text xml:space="preserve">tiền bị giữ trong kho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5"/>
    <col customWidth="1" min="8" max="8" width="18.38"/>
    <col customWidth="1" min="9" max="9" width="1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>
        <v>50.0</v>
      </c>
      <c r="E2" s="2">
        <v>40.0</v>
      </c>
      <c r="F2" s="2">
        <v>700.0</v>
      </c>
      <c r="G2" s="3">
        <f t="shared" ref="G2:G9" si="1">E2/D2</f>
        <v>0.8</v>
      </c>
      <c r="H2" s="3">
        <f t="shared" ref="H2:H9" si="2">(D2/E2)*30</f>
        <v>37.5</v>
      </c>
      <c r="I2" s="3">
        <f t="shared" ref="I2:I9" si="3">D2*F2</f>
        <v>35000</v>
      </c>
    </row>
    <row r="3">
      <c r="A3" s="2" t="s">
        <v>12</v>
      </c>
      <c r="B3" s="2" t="s">
        <v>13</v>
      </c>
      <c r="C3" s="2" t="s">
        <v>11</v>
      </c>
      <c r="D3" s="2">
        <v>200.0</v>
      </c>
      <c r="E3" s="2">
        <v>30.0</v>
      </c>
      <c r="F3" s="2">
        <v>10.0</v>
      </c>
      <c r="G3" s="3">
        <f t="shared" si="1"/>
        <v>0.15</v>
      </c>
      <c r="H3" s="3">
        <f t="shared" si="2"/>
        <v>200</v>
      </c>
      <c r="I3" s="3">
        <f t="shared" si="3"/>
        <v>2000</v>
      </c>
    </row>
    <row r="4">
      <c r="A4" s="2" t="s">
        <v>14</v>
      </c>
      <c r="B4" s="2" t="s">
        <v>15</v>
      </c>
      <c r="C4" s="2" t="s">
        <v>11</v>
      </c>
      <c r="D4" s="2">
        <v>150.0</v>
      </c>
      <c r="E4" s="2">
        <v>25.0</v>
      </c>
      <c r="F4" s="2">
        <v>20.0</v>
      </c>
      <c r="G4" s="4">
        <f t="shared" si="1"/>
        <v>0.1666666667</v>
      </c>
      <c r="H4" s="3">
        <f t="shared" si="2"/>
        <v>180</v>
      </c>
      <c r="I4" s="3">
        <f t="shared" si="3"/>
        <v>3000</v>
      </c>
    </row>
    <row r="5">
      <c r="A5" s="2" t="s">
        <v>16</v>
      </c>
      <c r="B5" s="2" t="s">
        <v>17</v>
      </c>
      <c r="C5" s="2" t="s">
        <v>11</v>
      </c>
      <c r="D5" s="2">
        <v>40.0</v>
      </c>
      <c r="E5" s="2">
        <v>35.0</v>
      </c>
      <c r="F5" s="2">
        <v>200.0</v>
      </c>
      <c r="G5" s="3">
        <f t="shared" si="1"/>
        <v>0.875</v>
      </c>
      <c r="H5" s="5">
        <f t="shared" si="2"/>
        <v>34.28571429</v>
      </c>
      <c r="I5" s="3">
        <f t="shared" si="3"/>
        <v>8000</v>
      </c>
    </row>
    <row r="6">
      <c r="A6" s="2" t="s">
        <v>18</v>
      </c>
      <c r="B6" s="2" t="s">
        <v>19</v>
      </c>
      <c r="C6" s="2" t="s">
        <v>11</v>
      </c>
      <c r="D6" s="2">
        <v>30.0</v>
      </c>
      <c r="E6" s="2">
        <v>45.0</v>
      </c>
      <c r="F6" s="2">
        <v>600.0</v>
      </c>
      <c r="G6" s="3">
        <f t="shared" si="1"/>
        <v>1.5</v>
      </c>
      <c r="H6" s="3">
        <f t="shared" si="2"/>
        <v>20</v>
      </c>
      <c r="I6" s="3">
        <f t="shared" si="3"/>
        <v>18000</v>
      </c>
    </row>
    <row r="7">
      <c r="A7" s="2" t="s">
        <v>20</v>
      </c>
      <c r="B7" s="2" t="s">
        <v>21</v>
      </c>
      <c r="C7" s="2" t="s">
        <v>22</v>
      </c>
      <c r="D7" s="2">
        <v>300.0</v>
      </c>
      <c r="E7" s="2">
        <v>50.0</v>
      </c>
      <c r="F7" s="2">
        <v>15.0</v>
      </c>
      <c r="G7" s="4">
        <f t="shared" si="1"/>
        <v>0.1666666667</v>
      </c>
      <c r="H7" s="3">
        <f t="shared" si="2"/>
        <v>180</v>
      </c>
      <c r="I7" s="3">
        <f t="shared" si="3"/>
        <v>4500</v>
      </c>
    </row>
    <row r="8">
      <c r="A8" s="2" t="s">
        <v>23</v>
      </c>
      <c r="B8" s="2" t="s">
        <v>24</v>
      </c>
      <c r="C8" s="2" t="s">
        <v>22</v>
      </c>
      <c r="D8" s="2">
        <v>500.0</v>
      </c>
      <c r="E8" s="2">
        <v>80.0</v>
      </c>
      <c r="F8" s="2">
        <v>5.0</v>
      </c>
      <c r="G8" s="3">
        <f t="shared" si="1"/>
        <v>0.16</v>
      </c>
      <c r="H8" s="3">
        <f t="shared" si="2"/>
        <v>187.5</v>
      </c>
      <c r="I8" s="3">
        <f t="shared" si="3"/>
        <v>2500</v>
      </c>
    </row>
    <row r="9">
      <c r="A9" s="2" t="s">
        <v>25</v>
      </c>
      <c r="B9" s="2" t="s">
        <v>26</v>
      </c>
      <c r="C9" s="2" t="s">
        <v>22</v>
      </c>
      <c r="D9" s="2">
        <v>60.0</v>
      </c>
      <c r="E9" s="2">
        <v>55.0</v>
      </c>
      <c r="F9" s="2">
        <v>80.0</v>
      </c>
      <c r="G9" s="4">
        <f t="shared" si="1"/>
        <v>0.9166666667</v>
      </c>
      <c r="H9" s="5">
        <f t="shared" si="2"/>
        <v>32.72727273</v>
      </c>
      <c r="I9" s="3">
        <f t="shared" si="3"/>
        <v>4800</v>
      </c>
    </row>
  </sheetData>
  <autoFilter ref="$H$1:$H$1000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8.0"/>
    <col customWidth="1" min="3" max="3" width="13.88"/>
  </cols>
  <sheetData>
    <row r="1"/>
    <row r="2"/>
    <row r="3"/>
    <row r="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